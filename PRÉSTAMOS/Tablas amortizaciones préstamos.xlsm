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K:\Grupo MELO\CONTABILIDAD\PRÉSTAMOS\"/>
    </mc:Choice>
  </mc:AlternateContent>
  <bookViews>
    <workbookView xWindow="0" yWindow="0" windowWidth="21600" windowHeight="9735" activeTab="1"/>
  </bookViews>
  <sheets>
    <sheet name="BBVA 20.000" sheetId="1" r:id="rId1"/>
    <sheet name="BBVA 1200" sheetId="3" r:id="rId2"/>
    <sheet name="Pagos aplazados Hacienda 2" sheetId="4" r:id="rId3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1" l="1"/>
  <c r="G8" i="4" l="1"/>
  <c r="D26" i="3" l="1"/>
  <c r="E26" i="3" s="1"/>
  <c r="D25" i="3"/>
  <c r="E25" i="3" s="1"/>
  <c r="D24" i="3"/>
  <c r="E24" i="3" s="1"/>
  <c r="D23" i="3"/>
  <c r="D22" i="3"/>
  <c r="E22" i="3" s="1"/>
  <c r="D21" i="3"/>
  <c r="E21" i="3" s="1"/>
  <c r="D20" i="3"/>
  <c r="E20" i="3" s="1"/>
  <c r="D19" i="3"/>
  <c r="D18" i="3"/>
  <c r="E18" i="3" s="1"/>
  <c r="D17" i="3"/>
  <c r="E17" i="3" s="1"/>
  <c r="D16" i="3"/>
  <c r="E16" i="3" s="1"/>
  <c r="D15" i="3"/>
  <c r="D14" i="3"/>
  <c r="E14" i="3" s="1"/>
  <c r="D13" i="3"/>
  <c r="E13" i="3" s="1"/>
  <c r="D12" i="3"/>
  <c r="E12" i="3" s="1"/>
  <c r="D11" i="3"/>
  <c r="D10" i="3"/>
  <c r="E10" i="3" s="1"/>
  <c r="D9" i="3"/>
  <c r="E9" i="3" s="1"/>
  <c r="D8" i="3"/>
  <c r="E8" i="3" s="1"/>
  <c r="D7" i="3"/>
  <c r="D6" i="3"/>
  <c r="E6" i="3" s="1"/>
  <c r="D5" i="3"/>
  <c r="E5" i="3" s="1"/>
  <c r="D4" i="3"/>
  <c r="E4" i="3" s="1"/>
  <c r="D3" i="3"/>
  <c r="E3" i="3" s="1"/>
  <c r="F3" i="3" s="1"/>
  <c r="E23" i="3"/>
  <c r="E19" i="3"/>
  <c r="E15" i="3"/>
  <c r="E11" i="3"/>
  <c r="E7" i="3"/>
  <c r="F4" i="3" l="1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l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H16" i="1"/>
  <c r="G16" i="1"/>
  <c r="E50" i="1" l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E3" i="1"/>
  <c r="F3" i="1" s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</calcChain>
</file>

<file path=xl/sharedStrings.xml><?xml version="1.0" encoding="utf-8"?>
<sst xmlns="http://schemas.openxmlformats.org/spreadsheetml/2006/main" count="31" uniqueCount="16">
  <si>
    <t>Capital</t>
  </si>
  <si>
    <t>Intereses</t>
  </si>
  <si>
    <t>Cuota</t>
  </si>
  <si>
    <t>#Recibo</t>
  </si>
  <si>
    <t>Pendiente</t>
  </si>
  <si>
    <t>año 1</t>
  </si>
  <si>
    <t>año 2</t>
  </si>
  <si>
    <t>Deudas</t>
  </si>
  <si>
    <t>Num. Plazo</t>
  </si>
  <si>
    <t>Fase</t>
  </si>
  <si>
    <t>Fecha límite ingreso</t>
  </si>
  <si>
    <t>Importe pendiente</t>
  </si>
  <si>
    <t>Intereses precal.</t>
  </si>
  <si>
    <t>Importe total</t>
  </si>
  <si>
    <t>A2861215536022756</t>
  </si>
  <si>
    <t>Voluntaria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</si>
</sst>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#,##0.00\ &quot;€&quot;;[Red]\-#,##0.00\ &quot;€&quot;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8" fontId="0" fillId="0" borderId="0" xfId="0" applyNumberFormat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0"/>
  <sheetViews>
    <sheetView workbookViewId="0">
      <selection activeCell="I13" sqref="I13"/>
    </sheetView>
  </sheetViews>
  <sheetFormatPr baseColWidth="10" defaultRowHeight="15" x14ac:dyDescent="0.25"/>
  <sheetData>
    <row r="1" spans="1:9" x14ac:dyDescent="0.25">
      <c r="B1" t="s">
        <v>3</v>
      </c>
      <c r="C1" t="s">
        <v>2</v>
      </c>
      <c r="D1" t="s">
        <v>1</v>
      </c>
      <c r="E1" t="s">
        <v>0</v>
      </c>
      <c r="F1" t="s">
        <v>4</v>
      </c>
    </row>
    <row r="2" spans="1:9" x14ac:dyDescent="0.25">
      <c r="F2" s="2">
        <v>20000</v>
      </c>
    </row>
    <row r="3" spans="1:9" x14ac:dyDescent="0.25">
      <c r="A3" s="3">
        <v>42082</v>
      </c>
      <c r="B3">
        <v>1</v>
      </c>
      <c r="C3">
        <v>459.43</v>
      </c>
      <c r="D3" s="1">
        <f>IPMT(4.872/1200,B3,48,20000)</f>
        <v>-81.2</v>
      </c>
      <c r="E3" s="1">
        <f>C3+D3</f>
        <v>378.23</v>
      </c>
      <c r="F3" s="1">
        <f>F2-E3</f>
        <v>19621.77</v>
      </c>
    </row>
    <row r="4" spans="1:9" x14ac:dyDescent="0.25">
      <c r="A4" s="3">
        <v>42113</v>
      </c>
      <c r="B4">
        <v>2</v>
      </c>
      <c r="C4">
        <v>459.43</v>
      </c>
      <c r="D4" s="1">
        <f t="shared" ref="D4:D50" si="0">IPMT(4.872/1200,B4,48,20000)</f>
        <v>-79.664397900050815</v>
      </c>
      <c r="E4" s="1">
        <f t="shared" ref="E4:E50" si="1">C4+D4</f>
        <v>379.76560209994921</v>
      </c>
      <c r="F4" s="1">
        <f t="shared" ref="F4:F50" si="2">F3-E4</f>
        <v>19242.004397900051</v>
      </c>
    </row>
    <row r="5" spans="1:9" x14ac:dyDescent="0.25">
      <c r="A5" s="3">
        <v>42143</v>
      </c>
      <c r="B5">
        <v>3</v>
      </c>
      <c r="C5">
        <v>459.43</v>
      </c>
      <c r="D5" s="1">
        <f t="shared" si="0"/>
        <v>-78.122561255575832</v>
      </c>
      <c r="E5" s="1">
        <f t="shared" si="1"/>
        <v>381.30743874442419</v>
      </c>
      <c r="F5" s="1">
        <f t="shared" si="2"/>
        <v>18860.696959155626</v>
      </c>
    </row>
    <row r="6" spans="1:9" x14ac:dyDescent="0.25">
      <c r="A6" s="3">
        <v>42174</v>
      </c>
      <c r="B6">
        <v>4</v>
      </c>
      <c r="C6">
        <v>459.43</v>
      </c>
      <c r="D6" s="1">
        <f t="shared" si="0"/>
        <v>-76.574464754324282</v>
      </c>
      <c r="E6" s="1">
        <f t="shared" si="1"/>
        <v>382.8555352456757</v>
      </c>
      <c r="F6" s="1">
        <f t="shared" si="2"/>
        <v>18477.841423909951</v>
      </c>
    </row>
    <row r="7" spans="1:9" x14ac:dyDescent="0.25">
      <c r="A7" s="3">
        <v>42204</v>
      </c>
      <c r="B7">
        <v>5</v>
      </c>
      <c r="C7">
        <v>459.43</v>
      </c>
      <c r="D7" s="1">
        <f t="shared" si="0"/>
        <v>-75.020082981277625</v>
      </c>
      <c r="E7" s="1">
        <f t="shared" si="1"/>
        <v>384.40991701872235</v>
      </c>
      <c r="F7" s="1">
        <f t="shared" si="2"/>
        <v>18093.431506891229</v>
      </c>
    </row>
    <row r="8" spans="1:9" x14ac:dyDescent="0.25">
      <c r="A8" s="3">
        <v>42235</v>
      </c>
      <c r="B8">
        <v>6</v>
      </c>
      <c r="C8">
        <v>459.43</v>
      </c>
      <c r="D8" s="1">
        <f t="shared" si="0"/>
        <v>-73.459390418232431</v>
      </c>
      <c r="E8" s="1">
        <f t="shared" si="1"/>
        <v>385.97060958176758</v>
      </c>
      <c r="F8" s="1">
        <f t="shared" si="2"/>
        <v>17707.460897309462</v>
      </c>
    </row>
    <row r="9" spans="1:9" x14ac:dyDescent="0.25">
      <c r="A9" s="3">
        <v>42266</v>
      </c>
      <c r="B9">
        <v>7</v>
      </c>
      <c r="C9">
        <v>459.43</v>
      </c>
      <c r="D9" s="1">
        <f t="shared" si="0"/>
        <v>-71.892361443381276</v>
      </c>
      <c r="E9" s="1">
        <f t="shared" si="1"/>
        <v>387.53763855661873</v>
      </c>
      <c r="F9" s="1">
        <f t="shared" si="2"/>
        <v>17319.923258752842</v>
      </c>
    </row>
    <row r="10" spans="1:9" x14ac:dyDescent="0.25">
      <c r="A10" s="3">
        <v>42296</v>
      </c>
      <c r="B10">
        <v>8</v>
      </c>
      <c r="C10">
        <v>459.43</v>
      </c>
      <c r="D10" s="1">
        <f t="shared" si="0"/>
        <v>-70.318970330892213</v>
      </c>
      <c r="E10" s="1">
        <f t="shared" si="1"/>
        <v>389.11102966910778</v>
      </c>
      <c r="F10" s="1">
        <f t="shared" si="2"/>
        <v>16930.812229083735</v>
      </c>
    </row>
    <row r="11" spans="1:9" x14ac:dyDescent="0.25">
      <c r="A11" s="3">
        <v>42327</v>
      </c>
      <c r="B11">
        <v>9</v>
      </c>
      <c r="C11">
        <v>459.43</v>
      </c>
      <c r="D11" s="1">
        <f t="shared" si="0"/>
        <v>-68.739191250486442</v>
      </c>
      <c r="E11" s="1">
        <f t="shared" si="1"/>
        <v>390.69080874951356</v>
      </c>
      <c r="F11" s="1">
        <f t="shared" si="2"/>
        <v>16540.121420334221</v>
      </c>
    </row>
    <row r="12" spans="1:9" x14ac:dyDescent="0.25">
      <c r="A12" s="3">
        <v>42357</v>
      </c>
      <c r="B12">
        <v>10</v>
      </c>
      <c r="C12">
        <v>459.43</v>
      </c>
      <c r="D12" s="1">
        <f t="shared" si="0"/>
        <v>-67.15299826701424</v>
      </c>
      <c r="E12" s="1">
        <f t="shared" si="1"/>
        <v>392.27700173298575</v>
      </c>
      <c r="F12" s="1">
        <f t="shared" si="2"/>
        <v>16147.844418601235</v>
      </c>
      <c r="I12" s="1">
        <f>F12-F24</f>
        <v>4833.4175990816711</v>
      </c>
    </row>
    <row r="13" spans="1:9" x14ac:dyDescent="0.25">
      <c r="A13" s="3">
        <v>42388</v>
      </c>
      <c r="B13">
        <v>11</v>
      </c>
      <c r="C13">
        <v>459.43</v>
      </c>
      <c r="D13" s="1">
        <f t="shared" si="0"/>
        <v>-65.560365340029122</v>
      </c>
      <c r="E13" s="1">
        <f t="shared" si="1"/>
        <v>393.86963465997087</v>
      </c>
      <c r="F13" s="1">
        <f t="shared" si="2"/>
        <v>15753.974783941263</v>
      </c>
    </row>
    <row r="14" spans="1:9" x14ac:dyDescent="0.25">
      <c r="A14" s="3">
        <v>42419</v>
      </c>
      <c r="B14">
        <v>12</v>
      </c>
      <c r="C14">
        <v>459.43</v>
      </c>
      <c r="D14" s="1">
        <f t="shared" si="0"/>
        <v>-63.961266323360469</v>
      </c>
      <c r="E14" s="1">
        <f t="shared" si="1"/>
        <v>395.46873367663954</v>
      </c>
      <c r="F14" s="1">
        <f t="shared" si="2"/>
        <v>15358.506050264623</v>
      </c>
    </row>
    <row r="15" spans="1:9" x14ac:dyDescent="0.25">
      <c r="A15" s="3">
        <v>42448</v>
      </c>
      <c r="B15">
        <v>13</v>
      </c>
      <c r="C15">
        <v>459.43</v>
      </c>
      <c r="D15" s="1">
        <f t="shared" si="0"/>
        <v>-62.355674964684113</v>
      </c>
      <c r="E15" s="1">
        <f t="shared" si="1"/>
        <v>397.07432503531589</v>
      </c>
      <c r="F15" s="1">
        <f t="shared" si="2"/>
        <v>14961.431725229308</v>
      </c>
      <c r="G15" t="s">
        <v>5</v>
      </c>
      <c r="H15" t="s">
        <v>6</v>
      </c>
    </row>
    <row r="16" spans="1:9" x14ac:dyDescent="0.25">
      <c r="A16" s="3">
        <v>42479</v>
      </c>
      <c r="B16">
        <v>14</v>
      </c>
      <c r="C16">
        <v>459.43</v>
      </c>
      <c r="D16" s="1">
        <f t="shared" si="0"/>
        <v>-60.743564905091553</v>
      </c>
      <c r="E16" s="1">
        <f t="shared" si="1"/>
        <v>398.68643509490846</v>
      </c>
      <c r="F16" s="1">
        <f t="shared" si="2"/>
        <v>14562.745290134399</v>
      </c>
      <c r="G16" s="1">
        <f>F2-F15</f>
        <v>5038.5682747706924</v>
      </c>
      <c r="H16" s="1">
        <f>F2-G16</f>
        <v>14961.431725229308</v>
      </c>
    </row>
    <row r="17" spans="1:6" x14ac:dyDescent="0.25">
      <c r="A17" s="3">
        <v>42509</v>
      </c>
      <c r="B17">
        <v>15</v>
      </c>
      <c r="C17">
        <v>459.43</v>
      </c>
      <c r="D17" s="1">
        <f t="shared" si="0"/>
        <v>-59.124909678657026</v>
      </c>
      <c r="E17" s="1">
        <f t="shared" si="1"/>
        <v>400.30509032134296</v>
      </c>
      <c r="F17" s="1">
        <f t="shared" si="2"/>
        <v>14162.440199813056</v>
      </c>
    </row>
    <row r="18" spans="1:6" x14ac:dyDescent="0.25">
      <c r="A18" s="3">
        <v>42540</v>
      </c>
      <c r="B18">
        <v>16</v>
      </c>
      <c r="C18">
        <v>459.43</v>
      </c>
      <c r="D18" s="1">
        <f t="shared" si="0"/>
        <v>-57.499682712003178</v>
      </c>
      <c r="E18" s="1">
        <f t="shared" si="1"/>
        <v>401.93031728799684</v>
      </c>
      <c r="F18" s="1">
        <f t="shared" si="2"/>
        <v>13760.509882525059</v>
      </c>
    </row>
    <row r="19" spans="1:6" x14ac:dyDescent="0.25">
      <c r="A19" s="3">
        <v>42570</v>
      </c>
      <c r="B19">
        <v>17</v>
      </c>
      <c r="C19">
        <v>459.43</v>
      </c>
      <c r="D19" s="1">
        <f t="shared" si="0"/>
        <v>-55.867857323864719</v>
      </c>
      <c r="E19" s="1">
        <f t="shared" si="1"/>
        <v>403.5621426761353</v>
      </c>
      <c r="F19" s="1">
        <f t="shared" si="2"/>
        <v>13356.947739848923</v>
      </c>
    </row>
    <row r="20" spans="1:6" x14ac:dyDescent="0.25">
      <c r="A20" s="3">
        <v>42601</v>
      </c>
      <c r="B20">
        <v>18</v>
      </c>
      <c r="C20">
        <v>459.43</v>
      </c>
      <c r="D20" s="1">
        <f t="shared" si="0"/>
        <v>-54.229406724650424</v>
      </c>
      <c r="E20" s="1">
        <f t="shared" si="1"/>
        <v>405.2005932753496</v>
      </c>
      <c r="F20" s="1">
        <f t="shared" si="2"/>
        <v>12951.747146573574</v>
      </c>
    </row>
    <row r="21" spans="1:6" x14ac:dyDescent="0.25">
      <c r="A21" s="3">
        <v>42632</v>
      </c>
      <c r="B21">
        <v>19</v>
      </c>
      <c r="C21">
        <v>459.43</v>
      </c>
      <c r="D21" s="1">
        <f t="shared" si="0"/>
        <v>-52.584304016003323</v>
      </c>
      <c r="E21" s="1">
        <f t="shared" si="1"/>
        <v>406.84569598399668</v>
      </c>
      <c r="F21" s="1">
        <f t="shared" si="2"/>
        <v>12544.901450589578</v>
      </c>
    </row>
    <row r="22" spans="1:6" x14ac:dyDescent="0.25">
      <c r="A22" s="3">
        <v>42662</v>
      </c>
      <c r="B22">
        <v>20</v>
      </c>
      <c r="C22">
        <v>459.43</v>
      </c>
      <c r="D22" s="1">
        <f t="shared" si="0"/>
        <v>-50.932522190359116</v>
      </c>
      <c r="E22" s="1">
        <f t="shared" si="1"/>
        <v>408.49747780964088</v>
      </c>
      <c r="F22" s="1">
        <f t="shared" si="2"/>
        <v>12136.403972779937</v>
      </c>
    </row>
    <row r="23" spans="1:6" x14ac:dyDescent="0.25">
      <c r="A23" s="3">
        <v>42693</v>
      </c>
      <c r="B23">
        <v>21</v>
      </c>
      <c r="C23">
        <v>459.43</v>
      </c>
      <c r="D23" s="1">
        <f t="shared" si="0"/>
        <v>-49.274034130502784</v>
      </c>
      <c r="E23" s="1">
        <f t="shared" si="1"/>
        <v>410.15596586949721</v>
      </c>
      <c r="F23" s="1">
        <f t="shared" si="2"/>
        <v>11726.24800691044</v>
      </c>
    </row>
    <row r="24" spans="1:6" x14ac:dyDescent="0.25">
      <c r="A24" s="3">
        <v>42723</v>
      </c>
      <c r="B24">
        <v>22</v>
      </c>
      <c r="C24">
        <v>459.43</v>
      </c>
      <c r="D24" s="1">
        <f t="shared" si="0"/>
        <v>-47.608812609123426</v>
      </c>
      <c r="E24" s="1">
        <f t="shared" si="1"/>
        <v>411.82118739087656</v>
      </c>
      <c r="F24" s="1">
        <f t="shared" si="2"/>
        <v>11314.426819519564</v>
      </c>
    </row>
    <row r="25" spans="1:6" x14ac:dyDescent="0.25">
      <c r="A25" s="3">
        <v>42754</v>
      </c>
      <c r="B25">
        <v>23</v>
      </c>
      <c r="C25">
        <v>459.43</v>
      </c>
      <c r="D25" s="1">
        <f t="shared" si="0"/>
        <v>-45.93683028836729</v>
      </c>
      <c r="E25" s="1">
        <f t="shared" si="1"/>
        <v>413.49316971163273</v>
      </c>
      <c r="F25" s="1">
        <f t="shared" si="2"/>
        <v>10900.93364980793</v>
      </c>
    </row>
    <row r="26" spans="1:6" x14ac:dyDescent="0.25">
      <c r="A26" s="3">
        <v>42785</v>
      </c>
      <c r="B26">
        <v>24</v>
      </c>
      <c r="C26">
        <v>459.43</v>
      </c>
      <c r="D26" s="1">
        <f t="shared" si="0"/>
        <v>-44.258059719388875</v>
      </c>
      <c r="E26" s="1">
        <f t="shared" si="1"/>
        <v>415.17194028061112</v>
      </c>
      <c r="F26" s="1">
        <f t="shared" si="2"/>
        <v>10485.76170952732</v>
      </c>
    </row>
    <row r="27" spans="1:6" x14ac:dyDescent="0.25">
      <c r="A27" s="3">
        <v>42813</v>
      </c>
      <c r="B27">
        <v>25</v>
      </c>
      <c r="C27">
        <v>459.43</v>
      </c>
      <c r="D27" s="1">
        <f t="shared" si="0"/>
        <v>-42.572473341900405</v>
      </c>
      <c r="E27" s="1">
        <f t="shared" si="1"/>
        <v>416.85752665809957</v>
      </c>
      <c r="F27" s="1">
        <f t="shared" si="2"/>
        <v>10068.904182869221</v>
      </c>
    </row>
    <row r="28" spans="1:6" x14ac:dyDescent="0.25">
      <c r="A28" s="3">
        <v>42844</v>
      </c>
      <c r="B28">
        <v>26</v>
      </c>
      <c r="C28">
        <v>459.43</v>
      </c>
      <c r="D28" s="1">
        <f t="shared" si="0"/>
        <v>-40.880043483719327</v>
      </c>
      <c r="E28" s="1">
        <f t="shared" si="1"/>
        <v>418.5499565162807</v>
      </c>
      <c r="F28" s="1">
        <f t="shared" si="2"/>
        <v>9650.3542263529398</v>
      </c>
    </row>
    <row r="29" spans="1:6" x14ac:dyDescent="0.25">
      <c r="A29" s="3">
        <v>42874</v>
      </c>
      <c r="B29">
        <v>27</v>
      </c>
      <c r="C29">
        <v>459.43</v>
      </c>
      <c r="D29" s="1">
        <f t="shared" si="0"/>
        <v>-39.180742360314042</v>
      </c>
      <c r="E29" s="1">
        <f t="shared" si="1"/>
        <v>420.24925763968599</v>
      </c>
      <c r="F29" s="1">
        <f t="shared" si="2"/>
        <v>9230.1049687132545</v>
      </c>
    </row>
    <row r="30" spans="1:6" x14ac:dyDescent="0.25">
      <c r="A30" s="3">
        <v>42905</v>
      </c>
      <c r="B30">
        <v>28</v>
      </c>
      <c r="C30">
        <v>459.43</v>
      </c>
      <c r="D30" s="1">
        <f t="shared" si="0"/>
        <v>-37.474542074347731</v>
      </c>
      <c r="E30" s="1">
        <f t="shared" si="1"/>
        <v>421.9554579256523</v>
      </c>
      <c r="F30" s="1">
        <f t="shared" si="2"/>
        <v>8808.1495107876017</v>
      </c>
    </row>
    <row r="31" spans="1:6" x14ac:dyDescent="0.25">
      <c r="A31" s="3">
        <v>42935</v>
      </c>
      <c r="B31">
        <v>29</v>
      </c>
      <c r="C31">
        <v>459.43</v>
      </c>
      <c r="D31" s="1">
        <f t="shared" si="0"/>
        <v>-35.761414615220389</v>
      </c>
      <c r="E31" s="1">
        <f t="shared" si="1"/>
        <v>423.66858538477959</v>
      </c>
      <c r="F31" s="1">
        <f t="shared" si="2"/>
        <v>8384.4809254028223</v>
      </c>
    </row>
    <row r="32" spans="1:6" x14ac:dyDescent="0.25">
      <c r="A32" s="3">
        <v>42966</v>
      </c>
      <c r="B32">
        <v>30</v>
      </c>
      <c r="C32">
        <v>459.43</v>
      </c>
      <c r="D32" s="1">
        <f t="shared" si="0"/>
        <v>-34.041331858608991</v>
      </c>
      <c r="E32" s="1">
        <f t="shared" si="1"/>
        <v>425.38866814139101</v>
      </c>
      <c r="F32" s="1">
        <f t="shared" si="2"/>
        <v>7959.0922572614309</v>
      </c>
    </row>
    <row r="33" spans="1:6" x14ac:dyDescent="0.25">
      <c r="A33" s="3">
        <v>42997</v>
      </c>
      <c r="B33">
        <v>31</v>
      </c>
      <c r="C33">
        <v>459.43</v>
      </c>
      <c r="D33" s="1">
        <f t="shared" si="0"/>
        <v>-32.314265566005759</v>
      </c>
      <c r="E33" s="1">
        <f t="shared" si="1"/>
        <v>427.11573443399425</v>
      </c>
      <c r="F33" s="1">
        <f t="shared" si="2"/>
        <v>7531.9765228274364</v>
      </c>
    </row>
    <row r="34" spans="1:6" x14ac:dyDescent="0.25">
      <c r="A34" s="3">
        <v>43027</v>
      </c>
      <c r="B34">
        <v>32</v>
      </c>
      <c r="C34">
        <v>459.43</v>
      </c>
      <c r="D34" s="1">
        <f t="shared" si="0"/>
        <v>-30.580187384254561</v>
      </c>
      <c r="E34" s="1">
        <f t="shared" si="1"/>
        <v>428.84981261574546</v>
      </c>
      <c r="F34" s="1">
        <f t="shared" si="2"/>
        <v>7103.1267102116908</v>
      </c>
    </row>
    <row r="35" spans="1:6" x14ac:dyDescent="0.25">
      <c r="A35" s="3">
        <v>43058</v>
      </c>
      <c r="B35">
        <v>33</v>
      </c>
      <c r="C35">
        <v>459.43</v>
      </c>
      <c r="D35" s="1">
        <f t="shared" si="0"/>
        <v>-28.839068845085446</v>
      </c>
      <c r="E35" s="1">
        <f t="shared" si="1"/>
        <v>430.59093115491459</v>
      </c>
      <c r="F35" s="1">
        <f t="shared" si="2"/>
        <v>6672.5357790567759</v>
      </c>
    </row>
    <row r="36" spans="1:6" x14ac:dyDescent="0.25">
      <c r="A36" s="3">
        <v>43088</v>
      </c>
      <c r="B36">
        <v>34</v>
      </c>
      <c r="C36">
        <v>459.43</v>
      </c>
      <c r="D36" s="1">
        <f t="shared" si="0"/>
        <v>-27.090881364647302</v>
      </c>
      <c r="E36" s="1">
        <f t="shared" si="1"/>
        <v>432.33911863535269</v>
      </c>
      <c r="F36" s="1">
        <f t="shared" si="2"/>
        <v>6240.1966604214231</v>
      </c>
    </row>
    <row r="37" spans="1:6" x14ac:dyDescent="0.25">
      <c r="A37" s="3">
        <v>43119</v>
      </c>
      <c r="B37">
        <v>35</v>
      </c>
      <c r="C37">
        <v>459.43</v>
      </c>
      <c r="D37" s="1">
        <f t="shared" si="0"/>
        <v>-25.335596243038584</v>
      </c>
      <c r="E37" s="1">
        <f t="shared" si="1"/>
        <v>434.09440375696141</v>
      </c>
      <c r="F37" s="1">
        <f t="shared" si="2"/>
        <v>5806.1022566644615</v>
      </c>
    </row>
    <row r="38" spans="1:6" x14ac:dyDescent="0.25">
      <c r="A38" s="3">
        <v>43150</v>
      </c>
      <c r="B38">
        <v>36</v>
      </c>
      <c r="C38">
        <v>459.43</v>
      </c>
      <c r="D38" s="1">
        <f t="shared" si="0"/>
        <v>-23.573184663836134</v>
      </c>
      <c r="E38" s="1">
        <f t="shared" si="1"/>
        <v>435.85681533616389</v>
      </c>
      <c r="F38" s="1">
        <f t="shared" si="2"/>
        <v>5370.2454413282976</v>
      </c>
    </row>
    <row r="39" spans="1:6" x14ac:dyDescent="0.25">
      <c r="A39" s="3">
        <v>43178</v>
      </c>
      <c r="B39">
        <v>37</v>
      </c>
      <c r="C39">
        <v>459.43</v>
      </c>
      <c r="D39" s="1">
        <f t="shared" si="0"/>
        <v>-21.803617693622122</v>
      </c>
      <c r="E39" s="1">
        <f t="shared" si="1"/>
        <v>437.62638230637788</v>
      </c>
      <c r="F39" s="1">
        <f t="shared" si="2"/>
        <v>4932.6190590219194</v>
      </c>
    </row>
    <row r="40" spans="1:6" x14ac:dyDescent="0.25">
      <c r="A40" s="3">
        <v>43209</v>
      </c>
      <c r="B40">
        <v>38</v>
      </c>
      <c r="C40">
        <v>459.43</v>
      </c>
      <c r="D40" s="1">
        <f t="shared" si="0"/>
        <v>-20.026866281509037</v>
      </c>
      <c r="E40" s="1">
        <f t="shared" si="1"/>
        <v>439.40313371849095</v>
      </c>
      <c r="F40" s="1">
        <f t="shared" si="2"/>
        <v>4493.2159253034288</v>
      </c>
    </row>
    <row r="41" spans="1:6" x14ac:dyDescent="0.25">
      <c r="A41" s="3">
        <v>43239</v>
      </c>
      <c r="B41">
        <v>39</v>
      </c>
      <c r="C41">
        <v>459.43</v>
      </c>
      <c r="D41" s="1">
        <f t="shared" si="0"/>
        <v>-18.242901258662773</v>
      </c>
      <c r="E41" s="1">
        <f t="shared" si="1"/>
        <v>441.18709874133725</v>
      </c>
      <c r="F41" s="1">
        <f t="shared" si="2"/>
        <v>4052.0288265620916</v>
      </c>
    </row>
    <row r="42" spans="1:6" x14ac:dyDescent="0.25">
      <c r="A42" s="3">
        <v>43270</v>
      </c>
      <c r="B42">
        <v>40</v>
      </c>
      <c r="C42">
        <v>459.43</v>
      </c>
      <c r="D42" s="1">
        <f t="shared" si="0"/>
        <v>-16.451693337823759</v>
      </c>
      <c r="E42" s="1">
        <f t="shared" si="1"/>
        <v>442.97830666217624</v>
      </c>
      <c r="F42" s="1">
        <f t="shared" si="2"/>
        <v>3609.0505198999153</v>
      </c>
    </row>
    <row r="43" spans="1:6" x14ac:dyDescent="0.25">
      <c r="A43" s="3">
        <v>43300</v>
      </c>
      <c r="B43">
        <v>41</v>
      </c>
      <c r="C43">
        <v>459.43</v>
      </c>
      <c r="D43" s="1">
        <f t="shared" si="0"/>
        <v>-14.653213112826135</v>
      </c>
      <c r="E43" s="1">
        <f t="shared" si="1"/>
        <v>444.7767868871739</v>
      </c>
      <c r="F43" s="1">
        <f t="shared" si="2"/>
        <v>3164.2737330127416</v>
      </c>
    </row>
    <row r="44" spans="1:6" x14ac:dyDescent="0.25">
      <c r="A44" s="3">
        <v>43331</v>
      </c>
      <c r="B44">
        <v>42</v>
      </c>
      <c r="C44">
        <v>459.43</v>
      </c>
      <c r="D44" s="1">
        <f t="shared" si="0"/>
        <v>-12.847431058115021</v>
      </c>
      <c r="E44" s="1">
        <f t="shared" si="1"/>
        <v>446.58256894188497</v>
      </c>
      <c r="F44" s="1">
        <f t="shared" si="2"/>
        <v>2717.6911640708568</v>
      </c>
    </row>
    <row r="45" spans="1:6" x14ac:dyDescent="0.25">
      <c r="A45" s="3">
        <v>43362</v>
      </c>
      <c r="B45">
        <v>43</v>
      </c>
      <c r="C45">
        <v>459.43</v>
      </c>
      <c r="D45" s="1">
        <f t="shared" si="0"/>
        <v>-11.034317528261781</v>
      </c>
      <c r="E45" s="1">
        <f t="shared" si="1"/>
        <v>448.39568247173821</v>
      </c>
      <c r="F45" s="1">
        <f t="shared" si="2"/>
        <v>2269.2954815991184</v>
      </c>
    </row>
    <row r="46" spans="1:6" x14ac:dyDescent="0.25">
      <c r="A46" s="3">
        <v>43392</v>
      </c>
      <c r="B46">
        <v>44</v>
      </c>
      <c r="C46">
        <v>459.43</v>
      </c>
      <c r="D46" s="1">
        <f t="shared" si="0"/>
        <v>-9.2138427574773321</v>
      </c>
      <c r="E46" s="1">
        <f t="shared" si="1"/>
        <v>450.21615724252268</v>
      </c>
      <c r="F46" s="1">
        <f t="shared" si="2"/>
        <v>1819.0793243565956</v>
      </c>
    </row>
    <row r="47" spans="1:6" x14ac:dyDescent="0.25">
      <c r="A47" s="3">
        <v>43423</v>
      </c>
      <c r="B47">
        <v>45</v>
      </c>
      <c r="C47">
        <v>459.43</v>
      </c>
      <c r="D47" s="1">
        <f t="shared" si="0"/>
        <v>-7.3859768591235033</v>
      </c>
      <c r="E47" s="1">
        <f t="shared" si="1"/>
        <v>452.0440231408765</v>
      </c>
      <c r="F47" s="1">
        <f t="shared" si="2"/>
        <v>1367.0353012157191</v>
      </c>
    </row>
    <row r="48" spans="1:6" x14ac:dyDescent="0.25">
      <c r="A48" s="3">
        <v>43453</v>
      </c>
      <c r="B48">
        <v>46</v>
      </c>
      <c r="C48">
        <v>459.43</v>
      </c>
      <c r="D48" s="1">
        <f t="shared" si="0"/>
        <v>-5.5506898252223573</v>
      </c>
      <c r="E48" s="1">
        <f t="shared" si="1"/>
        <v>453.87931017477763</v>
      </c>
      <c r="F48" s="1">
        <f t="shared" si="2"/>
        <v>913.15599104094144</v>
      </c>
    </row>
    <row r="49" spans="1:6" x14ac:dyDescent="0.25">
      <c r="A49" s="3">
        <v>43484</v>
      </c>
      <c r="B49">
        <v>47</v>
      </c>
      <c r="C49">
        <v>459.43</v>
      </c>
      <c r="D49" s="1">
        <f t="shared" si="0"/>
        <v>-3.7079515259635718</v>
      </c>
      <c r="E49" s="1">
        <f t="shared" si="1"/>
        <v>455.72204847403646</v>
      </c>
      <c r="F49" s="1">
        <f t="shared" si="2"/>
        <v>457.43394256690499</v>
      </c>
    </row>
    <row r="50" spans="1:6" x14ac:dyDescent="0.25">
      <c r="A50" s="3">
        <v>43515</v>
      </c>
      <c r="B50">
        <v>48</v>
      </c>
      <c r="C50">
        <v>459.43</v>
      </c>
      <c r="D50" s="1">
        <f t="shared" si="0"/>
        <v>-1.857731709209796</v>
      </c>
      <c r="E50" s="1">
        <f t="shared" si="1"/>
        <v>457.57226829079019</v>
      </c>
      <c r="F50" s="1">
        <f t="shared" si="2"/>
        <v>-0.13832572388520248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6"/>
  <sheetViews>
    <sheetView tabSelected="1" workbookViewId="0">
      <selection activeCell="A15" sqref="A15:XFD15"/>
    </sheetView>
  </sheetViews>
  <sheetFormatPr baseColWidth="10" defaultRowHeight="15" x14ac:dyDescent="0.25"/>
  <sheetData>
    <row r="1" spans="1:8" x14ac:dyDescent="0.25">
      <c r="B1" t="s">
        <v>3</v>
      </c>
      <c r="C1" t="s">
        <v>2</v>
      </c>
      <c r="D1" t="s">
        <v>1</v>
      </c>
      <c r="E1" t="s">
        <v>0</v>
      </c>
      <c r="F1" t="s">
        <v>4</v>
      </c>
    </row>
    <row r="2" spans="1:8" x14ac:dyDescent="0.25">
      <c r="F2" s="2">
        <v>1200</v>
      </c>
    </row>
    <row r="3" spans="1:8" x14ac:dyDescent="0.25">
      <c r="A3" s="3">
        <v>41733</v>
      </c>
      <c r="B3">
        <v>1</v>
      </c>
      <c r="C3">
        <v>52.78</v>
      </c>
      <c r="D3" s="1">
        <f>IPMT(5.25/1200,B3,24,1200)</f>
        <v>-5.2500000000000009</v>
      </c>
      <c r="E3" s="1">
        <f>C3+D3</f>
        <v>47.53</v>
      </c>
      <c r="F3" s="1">
        <f>F2-E3</f>
        <v>1152.47</v>
      </c>
    </row>
    <row r="4" spans="1:8" x14ac:dyDescent="0.25">
      <c r="A4" s="3">
        <v>41763</v>
      </c>
      <c r="B4">
        <v>2</v>
      </c>
      <c r="C4">
        <v>52.78</v>
      </c>
      <c r="D4" s="1">
        <f t="shared" ref="D4:D26" si="0">IPMT(5.25/1200,B4,24,1200)</f>
        <v>-5.0420557060058853</v>
      </c>
      <c r="E4" s="1">
        <f t="shared" ref="E4:E26" si="1">C4+D4</f>
        <v>47.737944293994119</v>
      </c>
      <c r="F4" s="1">
        <f t="shared" ref="F4:F26" si="2">F3-E4</f>
        <v>1104.7320557060059</v>
      </c>
    </row>
    <row r="5" spans="1:8" x14ac:dyDescent="0.25">
      <c r="A5" s="3">
        <v>41794</v>
      </c>
      <c r="B5">
        <v>3</v>
      </c>
      <c r="C5">
        <v>52.78</v>
      </c>
      <c r="D5" s="1">
        <f t="shared" si="0"/>
        <v>-4.8332016557255439</v>
      </c>
      <c r="E5" s="1">
        <f t="shared" si="1"/>
        <v>47.946798344274455</v>
      </c>
      <c r="F5" s="1">
        <f t="shared" si="2"/>
        <v>1056.7852573617315</v>
      </c>
    </row>
    <row r="6" spans="1:8" x14ac:dyDescent="0.25">
      <c r="A6" s="3">
        <v>41824</v>
      </c>
      <c r="B6">
        <v>4</v>
      </c>
      <c r="C6">
        <v>52.78</v>
      </c>
      <c r="D6" s="1">
        <f t="shared" si="0"/>
        <v>-4.6234338689752281</v>
      </c>
      <c r="E6" s="1">
        <f t="shared" si="1"/>
        <v>48.156566131024775</v>
      </c>
      <c r="F6" s="1">
        <f t="shared" si="2"/>
        <v>1008.6286912307067</v>
      </c>
    </row>
    <row r="7" spans="1:8" x14ac:dyDescent="0.25">
      <c r="A7" s="3">
        <v>41855</v>
      </c>
      <c r="B7">
        <v>5</v>
      </c>
      <c r="C7">
        <v>52.78</v>
      </c>
      <c r="D7" s="1">
        <f t="shared" si="0"/>
        <v>-4.4127483481578791</v>
      </c>
      <c r="E7" s="1">
        <f t="shared" si="1"/>
        <v>48.367251651842125</v>
      </c>
      <c r="F7" s="1">
        <f t="shared" si="2"/>
        <v>960.26143957886461</v>
      </c>
    </row>
    <row r="8" spans="1:8" x14ac:dyDescent="0.25">
      <c r="A8" s="3">
        <v>41886</v>
      </c>
      <c r="B8">
        <v>6</v>
      </c>
      <c r="C8">
        <v>52.78</v>
      </c>
      <c r="D8" s="1">
        <f t="shared" si="0"/>
        <v>-4.2011410781869536</v>
      </c>
      <c r="E8" s="1">
        <f t="shared" si="1"/>
        <v>48.578858921813051</v>
      </c>
      <c r="F8" s="1">
        <f t="shared" si="2"/>
        <v>911.68258065705152</v>
      </c>
    </row>
    <row r="9" spans="1:8" x14ac:dyDescent="0.25">
      <c r="A9" s="3">
        <v>41916</v>
      </c>
      <c r="B9">
        <v>7</v>
      </c>
      <c r="C9">
        <v>52.78</v>
      </c>
      <c r="D9" s="1">
        <f t="shared" si="0"/>
        <v>-3.9886080264099055</v>
      </c>
      <c r="E9" s="1">
        <f t="shared" si="1"/>
        <v>48.791391973590095</v>
      </c>
      <c r="F9" s="1">
        <f t="shared" si="2"/>
        <v>862.89118868346145</v>
      </c>
    </row>
    <row r="10" spans="1:8" x14ac:dyDescent="0.25">
      <c r="A10" s="3">
        <v>41947</v>
      </c>
      <c r="B10">
        <v>8</v>
      </c>
      <c r="C10">
        <v>52.78</v>
      </c>
      <c r="D10" s="1">
        <f t="shared" si="0"/>
        <v>-3.7751451425313336</v>
      </c>
      <c r="E10" s="1">
        <f t="shared" si="1"/>
        <v>49.004854857468665</v>
      </c>
      <c r="F10" s="1">
        <f t="shared" si="2"/>
        <v>813.88633382599278</v>
      </c>
    </row>
    <row r="11" spans="1:8" x14ac:dyDescent="0.25">
      <c r="A11" s="3">
        <v>41977</v>
      </c>
      <c r="B11">
        <v>9</v>
      </c>
      <c r="C11">
        <v>52.78</v>
      </c>
      <c r="D11" s="1">
        <f t="shared" si="0"/>
        <v>-3.5607483585357915</v>
      </c>
      <c r="E11" s="1">
        <f t="shared" si="1"/>
        <v>49.219251641464211</v>
      </c>
      <c r="F11" s="1">
        <f t="shared" si="2"/>
        <v>764.66708218452857</v>
      </c>
    </row>
    <row r="12" spans="1:8" x14ac:dyDescent="0.25">
      <c r="A12" s="3">
        <v>42008</v>
      </c>
      <c r="B12">
        <v>10</v>
      </c>
      <c r="C12">
        <v>52.78</v>
      </c>
      <c r="D12" s="1">
        <f t="shared" si="0"/>
        <v>-3.3454135886102696</v>
      </c>
      <c r="E12" s="1">
        <f t="shared" si="1"/>
        <v>49.434586411389731</v>
      </c>
      <c r="F12" s="1">
        <f t="shared" si="2"/>
        <v>715.23249577313879</v>
      </c>
    </row>
    <row r="13" spans="1:8" x14ac:dyDescent="0.25">
      <c r="A13" s="3">
        <v>42039</v>
      </c>
      <c r="B13">
        <v>11</v>
      </c>
      <c r="C13">
        <v>52.78</v>
      </c>
      <c r="D13" s="1">
        <f t="shared" si="0"/>
        <v>-3.1291367290663246</v>
      </c>
      <c r="E13" s="1">
        <f t="shared" si="1"/>
        <v>49.650863270933677</v>
      </c>
      <c r="F13" s="1">
        <f t="shared" si="2"/>
        <v>665.58163250220514</v>
      </c>
    </row>
    <row r="14" spans="1:8" x14ac:dyDescent="0.25">
      <c r="A14" s="3">
        <v>42067</v>
      </c>
      <c r="B14">
        <v>12</v>
      </c>
      <c r="C14">
        <v>52.78</v>
      </c>
      <c r="D14" s="1">
        <f t="shared" si="0"/>
        <v>-2.9119136582618732</v>
      </c>
      <c r="E14" s="1">
        <f t="shared" si="1"/>
        <v>49.868086341738127</v>
      </c>
      <c r="F14" s="1">
        <f t="shared" si="2"/>
        <v>615.71354616046699</v>
      </c>
    </row>
    <row r="15" spans="1:8" x14ac:dyDescent="0.25">
      <c r="A15" s="3">
        <v>42098</v>
      </c>
      <c r="B15">
        <v>13</v>
      </c>
      <c r="C15">
        <v>52.78</v>
      </c>
      <c r="D15" s="1">
        <f t="shared" si="0"/>
        <v>-2.693740236522653</v>
      </c>
      <c r="E15" s="1">
        <f t="shared" si="1"/>
        <v>50.086259763477351</v>
      </c>
      <c r="F15" s="1">
        <f t="shared" si="2"/>
        <v>565.62728639698969</v>
      </c>
      <c r="G15" s="1"/>
      <c r="H15" s="1"/>
    </row>
    <row r="16" spans="1:8" x14ac:dyDescent="0.25">
      <c r="A16" s="3">
        <v>42128</v>
      </c>
      <c r="B16">
        <v>14</v>
      </c>
      <c r="C16">
        <v>52.78</v>
      </c>
      <c r="D16" s="1">
        <f t="shared" si="0"/>
        <v>-2.4746123060633236</v>
      </c>
      <c r="E16" s="1">
        <f t="shared" si="1"/>
        <v>50.30538769393668</v>
      </c>
      <c r="F16" s="1">
        <f t="shared" si="2"/>
        <v>515.32189870305297</v>
      </c>
    </row>
    <row r="17" spans="1:6" x14ac:dyDescent="0.25">
      <c r="A17" s="3">
        <v>42159</v>
      </c>
      <c r="B17">
        <v>15</v>
      </c>
      <c r="C17">
        <v>52.78</v>
      </c>
      <c r="D17" s="1">
        <f t="shared" si="0"/>
        <v>-2.2545256909082352</v>
      </c>
      <c r="E17" s="1">
        <f t="shared" si="1"/>
        <v>50.525474309091763</v>
      </c>
      <c r="F17" s="1">
        <f t="shared" si="2"/>
        <v>464.79642439396122</v>
      </c>
    </row>
    <row r="18" spans="1:6" x14ac:dyDescent="0.25">
      <c r="A18" s="3">
        <v>42189</v>
      </c>
      <c r="B18">
        <v>16</v>
      </c>
      <c r="C18">
        <v>52.78</v>
      </c>
      <c r="D18" s="1">
        <f t="shared" si="0"/>
        <v>-2.0334761968118427</v>
      </c>
      <c r="E18" s="1">
        <f t="shared" si="1"/>
        <v>50.746523803188161</v>
      </c>
      <c r="F18" s="1">
        <f t="shared" si="2"/>
        <v>414.04990059077306</v>
      </c>
    </row>
    <row r="19" spans="1:6" x14ac:dyDescent="0.25">
      <c r="A19" s="3">
        <v>42220</v>
      </c>
      <c r="B19">
        <v>17</v>
      </c>
      <c r="C19">
        <v>52.78</v>
      </c>
      <c r="D19" s="1">
        <f t="shared" si="0"/>
        <v>-1.8114596111787784</v>
      </c>
      <c r="E19" s="1">
        <f t="shared" si="1"/>
        <v>50.968540388821225</v>
      </c>
      <c r="F19" s="1">
        <f t="shared" si="2"/>
        <v>363.08136020195184</v>
      </c>
    </row>
    <row r="20" spans="1:6" x14ac:dyDescent="0.25">
      <c r="A20" s="3">
        <v>42251</v>
      </c>
      <c r="B20">
        <v>18</v>
      </c>
      <c r="C20">
        <v>52.78</v>
      </c>
      <c r="D20" s="1">
        <f t="shared" si="0"/>
        <v>-1.5884717029835695</v>
      </c>
      <c r="E20" s="1">
        <f t="shared" si="1"/>
        <v>51.191528297016433</v>
      </c>
      <c r="F20" s="1">
        <f t="shared" si="2"/>
        <v>311.88983190493542</v>
      </c>
    </row>
    <row r="21" spans="1:6" x14ac:dyDescent="0.25">
      <c r="A21" s="3">
        <v>42281</v>
      </c>
      <c r="B21">
        <v>19</v>
      </c>
      <c r="C21">
        <v>52.78</v>
      </c>
      <c r="D21" s="1">
        <f t="shared" si="0"/>
        <v>-1.3645082226900065</v>
      </c>
      <c r="E21" s="1">
        <f t="shared" si="1"/>
        <v>51.415491777309995</v>
      </c>
      <c r="F21" s="1">
        <f t="shared" si="2"/>
        <v>260.4743401276254</v>
      </c>
    </row>
    <row r="22" spans="1:6" x14ac:dyDescent="0.25">
      <c r="A22" s="3">
        <v>42312</v>
      </c>
      <c r="B22">
        <v>20</v>
      </c>
      <c r="C22">
        <v>52.78</v>
      </c>
      <c r="D22" s="1">
        <f t="shared" si="0"/>
        <v>-1.1395649021701597</v>
      </c>
      <c r="E22" s="1">
        <f t="shared" si="1"/>
        <v>51.640435097829844</v>
      </c>
      <c r="F22" s="1">
        <f t="shared" si="2"/>
        <v>208.83390502979555</v>
      </c>
    </row>
    <row r="23" spans="1:6" x14ac:dyDescent="0.25">
      <c r="A23" s="3">
        <v>42342</v>
      </c>
      <c r="B23">
        <v>21</v>
      </c>
      <c r="C23">
        <v>52.78</v>
      </c>
      <c r="D23" s="1">
        <f t="shared" si="0"/>
        <v>-0.91363745462303836</v>
      </c>
      <c r="E23" s="1">
        <f t="shared" si="1"/>
        <v>51.866362545376965</v>
      </c>
      <c r="F23" s="1">
        <f t="shared" si="2"/>
        <v>156.96754248441857</v>
      </c>
    </row>
    <row r="24" spans="1:6" x14ac:dyDescent="0.25">
      <c r="A24" s="3">
        <v>42373</v>
      </c>
      <c r="B24">
        <v>22</v>
      </c>
      <c r="C24">
        <v>52.78</v>
      </c>
      <c r="D24" s="1">
        <f t="shared" si="0"/>
        <v>-0.68672157449289806</v>
      </c>
      <c r="E24" s="1">
        <f t="shared" si="1"/>
        <v>52.093278425507101</v>
      </c>
      <c r="F24" s="1">
        <f t="shared" si="2"/>
        <v>104.87426405891148</v>
      </c>
    </row>
    <row r="25" spans="1:6" x14ac:dyDescent="0.25">
      <c r="A25" s="3">
        <v>42404</v>
      </c>
      <c r="B25">
        <v>23</v>
      </c>
      <c r="C25">
        <v>52.78</v>
      </c>
      <c r="D25" s="1">
        <f t="shared" si="0"/>
        <v>-0.45881293738718848</v>
      </c>
      <c r="E25" s="1">
        <f t="shared" si="1"/>
        <v>52.321187062612815</v>
      </c>
      <c r="F25" s="1">
        <f t="shared" si="2"/>
        <v>52.553076996298664</v>
      </c>
    </row>
    <row r="26" spans="1:6" x14ac:dyDescent="0.25">
      <c r="A26" s="3">
        <v>42433</v>
      </c>
      <c r="B26">
        <v>24</v>
      </c>
      <c r="C26">
        <v>52.78</v>
      </c>
      <c r="D26" s="1">
        <f t="shared" si="0"/>
        <v>-0.22990719999414158</v>
      </c>
      <c r="E26" s="1">
        <f t="shared" si="1"/>
        <v>52.550092800005856</v>
      </c>
      <c r="F26" s="1">
        <f t="shared" si="2"/>
        <v>2.9841962928074395E-3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G9" sqref="G9"/>
    </sheetView>
  </sheetViews>
  <sheetFormatPr baseColWidth="10" defaultRowHeight="15" x14ac:dyDescent="0.25"/>
  <sheetData>
    <row r="1" spans="1:7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</row>
    <row r="2" spans="1:7" x14ac:dyDescent="0.25">
      <c r="A2" t="s">
        <v>14</v>
      </c>
      <c r="B2">
        <v>4</v>
      </c>
      <c r="C2" t="s">
        <v>15</v>
      </c>
      <c r="D2" s="3">
        <v>42191</v>
      </c>
      <c r="E2">
        <v>243.77</v>
      </c>
      <c r="F2">
        <v>4.5599999999999996</v>
      </c>
      <c r="G2">
        <v>248.33</v>
      </c>
    </row>
    <row r="3" spans="1:7" x14ac:dyDescent="0.25">
      <c r="A3" t="s">
        <v>14</v>
      </c>
      <c r="B3">
        <v>5</v>
      </c>
      <c r="C3" t="s">
        <v>15</v>
      </c>
      <c r="D3" s="3">
        <v>42221</v>
      </c>
      <c r="E3">
        <v>243.77</v>
      </c>
      <c r="F3">
        <v>5.46</v>
      </c>
      <c r="G3">
        <v>249.23</v>
      </c>
    </row>
    <row r="4" spans="1:7" x14ac:dyDescent="0.25">
      <c r="A4" t="s">
        <v>14</v>
      </c>
      <c r="B4">
        <v>6</v>
      </c>
      <c r="C4" t="s">
        <v>15</v>
      </c>
      <c r="D4" s="3">
        <v>42254</v>
      </c>
      <c r="E4">
        <v>243.77</v>
      </c>
      <c r="F4">
        <v>6.37</v>
      </c>
      <c r="G4">
        <v>250.14</v>
      </c>
    </row>
    <row r="5" spans="1:7" x14ac:dyDescent="0.25">
      <c r="A5" t="s">
        <v>14</v>
      </c>
      <c r="B5">
        <v>7</v>
      </c>
      <c r="C5" t="s">
        <v>15</v>
      </c>
      <c r="D5" s="3">
        <v>42282</v>
      </c>
      <c r="E5">
        <v>243.77</v>
      </c>
      <c r="F5">
        <v>7.25</v>
      </c>
      <c r="G5">
        <v>251.02</v>
      </c>
    </row>
    <row r="6" spans="1:7" x14ac:dyDescent="0.25">
      <c r="A6" t="s">
        <v>14</v>
      </c>
      <c r="B6">
        <v>8</v>
      </c>
      <c r="C6" t="s">
        <v>15</v>
      </c>
      <c r="D6" s="3">
        <v>42313</v>
      </c>
      <c r="E6">
        <v>243.77</v>
      </c>
      <c r="F6">
        <v>8.15</v>
      </c>
      <c r="G6">
        <v>251.92</v>
      </c>
    </row>
    <row r="7" spans="1:7" x14ac:dyDescent="0.25">
      <c r="A7" t="s">
        <v>14</v>
      </c>
      <c r="B7">
        <v>9</v>
      </c>
      <c r="C7" t="s">
        <v>15</v>
      </c>
      <c r="D7" s="3">
        <v>42345</v>
      </c>
      <c r="E7">
        <v>243.84</v>
      </c>
      <c r="F7">
        <v>9.0299999999999994</v>
      </c>
      <c r="G7">
        <v>252.87</v>
      </c>
    </row>
    <row r="8" spans="1:7" x14ac:dyDescent="0.25">
      <c r="G8">
        <f>SUM(G5:G7)</f>
        <v>755.81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BBVA 20.000</vt:lpstr>
      <vt:lpstr>BBVA 1200</vt:lpstr>
      <vt:lpstr>Pagos aplazados Hacienda 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López Martínez</dc:creator>
  <cp:lastModifiedBy>Rafael López Martínez</cp:lastModifiedBy>
  <dcterms:created xsi:type="dcterms:W3CDTF">2015-04-14T16:37:23Z</dcterms:created>
  <dcterms:modified xsi:type="dcterms:W3CDTF">2016-02-27T19:29:37Z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5b982095-d224-4d1e-8eaa-c0ba242c3f5e</vt:lpwstr>
  </property>
</Properties>
</file>